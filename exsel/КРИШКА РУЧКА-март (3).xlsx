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 tabRatio="542"/>
  </bookViews>
  <sheets>
    <sheet name="24 март" sheetId="15" r:id="rId1"/>
  </sheets>
  <calcPr calcId="124519"/>
</workbook>
</file>

<file path=xl/calcChain.xml><?xml version="1.0" encoding="utf-8"?>
<calcChain xmlns="http://schemas.openxmlformats.org/spreadsheetml/2006/main">
  <c r="AB45" i="15"/>
  <c r="AC45" s="1"/>
  <c r="E45" s="1"/>
  <c r="I45"/>
  <c r="AB27"/>
  <c r="I27"/>
  <c r="AC27" s="1"/>
  <c r="E27" s="1"/>
  <c r="AB36"/>
  <c r="I36"/>
  <c r="AC36" s="1"/>
  <c r="E36" s="1"/>
  <c r="AB59"/>
  <c r="I59"/>
  <c r="AB49"/>
  <c r="I49"/>
  <c r="AB44"/>
  <c r="I44"/>
  <c r="AB48"/>
  <c r="I48"/>
  <c r="AB57"/>
  <c r="I57"/>
  <c r="AB47"/>
  <c r="I47"/>
  <c r="AB9"/>
  <c r="I9"/>
  <c r="AC9" s="1"/>
  <c r="E9" s="1"/>
  <c r="AC59" l="1"/>
  <c r="E59" s="1"/>
  <c r="AC44"/>
  <c r="E44" s="1"/>
  <c r="AC48"/>
  <c r="E48" s="1"/>
  <c r="AC49"/>
  <c r="E49" s="1"/>
  <c r="AC57"/>
  <c r="E57" s="1"/>
  <c r="AC47"/>
  <c r="E47" s="1"/>
  <c r="AB19"/>
  <c r="I19"/>
  <c r="AC19" s="1"/>
  <c r="E19" s="1"/>
  <c r="AB18"/>
  <c r="I18"/>
  <c r="AC18" s="1"/>
  <c r="E18" s="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H21"/>
  <c r="G21"/>
  <c r="F21"/>
  <c r="D21"/>
  <c r="AB20"/>
  <c r="I20"/>
  <c r="AC20" s="1"/>
  <c r="E20" s="1"/>
  <c r="AB17"/>
  <c r="I17"/>
  <c r="I21" s="1"/>
  <c r="AB8"/>
  <c r="I8"/>
  <c r="AB28"/>
  <c r="I28"/>
  <c r="D30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H66"/>
  <c r="G66"/>
  <c r="F66"/>
  <c r="D66"/>
  <c r="AB65"/>
  <c r="I65"/>
  <c r="AB64"/>
  <c r="I64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H62"/>
  <c r="G62"/>
  <c r="F62"/>
  <c r="D62"/>
  <c r="AB61"/>
  <c r="I61"/>
  <c r="AB60"/>
  <c r="I60"/>
  <c r="AB58"/>
  <c r="I58"/>
  <c r="AB56"/>
  <c r="I56"/>
  <c r="AB55"/>
  <c r="I55"/>
  <c r="AB54"/>
  <c r="I54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H52"/>
  <c r="G52"/>
  <c r="F52"/>
  <c r="D52"/>
  <c r="AB51"/>
  <c r="I51"/>
  <c r="AB50"/>
  <c r="I50"/>
  <c r="AB46"/>
  <c r="I46"/>
  <c r="AB43"/>
  <c r="I43"/>
  <c r="AB42"/>
  <c r="I42"/>
  <c r="AB41"/>
  <c r="I41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H39"/>
  <c r="G39"/>
  <c r="F39"/>
  <c r="D39"/>
  <c r="AB38"/>
  <c r="I38"/>
  <c r="AB37"/>
  <c r="I37"/>
  <c r="AB35"/>
  <c r="I35"/>
  <c r="AB34"/>
  <c r="I34"/>
  <c r="AB33"/>
  <c r="I33"/>
  <c r="AB32"/>
  <c r="I32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H30"/>
  <c r="G30"/>
  <c r="F30"/>
  <c r="AB29"/>
  <c r="I29"/>
  <c r="AB26"/>
  <c r="I26"/>
  <c r="AB25"/>
  <c r="I25"/>
  <c r="AB24"/>
  <c r="I24"/>
  <c r="AB23"/>
  <c r="I23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H15"/>
  <c r="G15"/>
  <c r="F15"/>
  <c r="D15"/>
  <c r="AB14"/>
  <c r="I14"/>
  <c r="AB13"/>
  <c r="I13"/>
  <c r="AA11"/>
  <c r="AA67" s="1"/>
  <c r="Z11"/>
  <c r="Y11"/>
  <c r="X11"/>
  <c r="W11"/>
  <c r="W67" s="1"/>
  <c r="V11"/>
  <c r="U11"/>
  <c r="T11"/>
  <c r="S11"/>
  <c r="S67" s="1"/>
  <c r="R11"/>
  <c r="Q11"/>
  <c r="P11"/>
  <c r="O11"/>
  <c r="O67" s="1"/>
  <c r="N11"/>
  <c r="M11"/>
  <c r="L11"/>
  <c r="K11"/>
  <c r="J11"/>
  <c r="H11"/>
  <c r="G11"/>
  <c r="F11"/>
  <c r="D11"/>
  <c r="AB10"/>
  <c r="I10"/>
  <c r="AB7"/>
  <c r="I7"/>
  <c r="AB6"/>
  <c r="I6"/>
  <c r="AB5"/>
  <c r="I5"/>
  <c r="AB4"/>
  <c r="I4"/>
  <c r="K67" l="1"/>
  <c r="U67"/>
  <c r="Z67"/>
  <c r="H67"/>
  <c r="M67"/>
  <c r="Q67"/>
  <c r="Y67"/>
  <c r="J67"/>
  <c r="D67"/>
  <c r="R67"/>
  <c r="V67"/>
  <c r="N67"/>
  <c r="G67"/>
  <c r="L67"/>
  <c r="P67"/>
  <c r="T67"/>
  <c r="X67"/>
  <c r="F67"/>
  <c r="AC17"/>
  <c r="AC21" s="1"/>
  <c r="E21" s="1"/>
  <c r="AB21"/>
  <c r="AC14"/>
  <c r="E14" s="1"/>
  <c r="I52"/>
  <c r="AC32"/>
  <c r="E32" s="1"/>
  <c r="AC23"/>
  <c r="E23" s="1"/>
  <c r="AC25"/>
  <c r="E25" s="1"/>
  <c r="AC29"/>
  <c r="E29" s="1"/>
  <c r="AC50"/>
  <c r="E50" s="1"/>
  <c r="AC54"/>
  <c r="E54" s="1"/>
  <c r="AC56"/>
  <c r="E56" s="1"/>
  <c r="AC60"/>
  <c r="E60" s="1"/>
  <c r="AC55"/>
  <c r="E55" s="1"/>
  <c r="AC58"/>
  <c r="E58" s="1"/>
  <c r="AC61"/>
  <c r="E61" s="1"/>
  <c r="AC8"/>
  <c r="E8" s="1"/>
  <c r="AC28"/>
  <c r="E28" s="1"/>
  <c r="I15"/>
  <c r="AC5"/>
  <c r="E5" s="1"/>
  <c r="AC7"/>
  <c r="E7" s="1"/>
  <c r="AC46"/>
  <c r="E46" s="1"/>
  <c r="AC51"/>
  <c r="E51" s="1"/>
  <c r="AB66"/>
  <c r="AB11"/>
  <c r="AC13"/>
  <c r="AC15" s="1"/>
  <c r="E15" s="1"/>
  <c r="AC35"/>
  <c r="E35" s="1"/>
  <c r="AC38"/>
  <c r="E38" s="1"/>
  <c r="I66"/>
  <c r="AC24"/>
  <c r="E24" s="1"/>
  <c r="AC26"/>
  <c r="E26" s="1"/>
  <c r="AC34"/>
  <c r="E34" s="1"/>
  <c r="AC37"/>
  <c r="E37" s="1"/>
  <c r="I62"/>
  <c r="AC65"/>
  <c r="E65" s="1"/>
  <c r="I39"/>
  <c r="I11"/>
  <c r="AC6"/>
  <c r="E6" s="1"/>
  <c r="AC10"/>
  <c r="E10" s="1"/>
  <c r="I30"/>
  <c r="AC33"/>
  <c r="E33" s="1"/>
  <c r="AB52"/>
  <c r="AC43"/>
  <c r="E43" s="1"/>
  <c r="AC42"/>
  <c r="E42" s="1"/>
  <c r="E13"/>
  <c r="AC4"/>
  <c r="AC41"/>
  <c r="AC64"/>
  <c r="AB15"/>
  <c r="AB30"/>
  <c r="AB39"/>
  <c r="AB62"/>
  <c r="I67" l="1"/>
  <c r="AB67"/>
  <c r="E17"/>
  <c r="AC62"/>
  <c r="E62" s="1"/>
  <c r="AC30"/>
  <c r="E30" s="1"/>
  <c r="AC39"/>
  <c r="E39" s="1"/>
  <c r="E64"/>
  <c r="AC66"/>
  <c r="E66" s="1"/>
  <c r="E41"/>
  <c r="AC52"/>
  <c r="E52" s="1"/>
  <c r="E4"/>
  <c r="AC11"/>
  <c r="AC67" l="1"/>
  <c r="E11"/>
  <c r="E67" s="1"/>
</calcChain>
</file>

<file path=xl/sharedStrings.xml><?xml version="1.0" encoding="utf-8"?>
<sst xmlns="http://schemas.openxmlformats.org/spreadsheetml/2006/main" count="87" uniqueCount="79">
  <si>
    <t>№</t>
  </si>
  <si>
    <t>Материаллар номи</t>
  </si>
  <si>
    <t>1 та халтадаки капсула сони</t>
  </si>
  <si>
    <t>кун бошида сальдо</t>
  </si>
  <si>
    <t>кун охирида сальдо</t>
  </si>
  <si>
    <t>Киримлар</t>
  </si>
  <si>
    <t>Жами кирим</t>
  </si>
  <si>
    <t>чикимлар</t>
  </si>
  <si>
    <t>Жами чиким</t>
  </si>
  <si>
    <t>Сальдо</t>
  </si>
  <si>
    <t>х</t>
  </si>
  <si>
    <t>ХАММАСИ:</t>
  </si>
  <si>
    <t>28мм КРИШКА</t>
  </si>
  <si>
    <t>Жами Кришка28 :</t>
  </si>
  <si>
    <t>Жами Ручка28 :</t>
  </si>
  <si>
    <t>Ручка 28  сарик</t>
  </si>
  <si>
    <t>28мм РУЧКА-морс</t>
  </si>
  <si>
    <t>38мм КРИШКА</t>
  </si>
  <si>
    <t>Кришка 38  кук</t>
  </si>
  <si>
    <t>Кришка 38  галубой</t>
  </si>
  <si>
    <t>Кришка 38  сарик</t>
  </si>
  <si>
    <t>Кришка 38  яшил</t>
  </si>
  <si>
    <t>Кришка 38  кизил</t>
  </si>
  <si>
    <t>Кришка 38  ок</t>
  </si>
  <si>
    <t>Кришка 28  ок</t>
  </si>
  <si>
    <t>38мм РУЧКА</t>
  </si>
  <si>
    <t>Ручка 38  кук</t>
  </si>
  <si>
    <t>Ручка 38  галубой</t>
  </si>
  <si>
    <t>Ручка 38  сарик</t>
  </si>
  <si>
    <t>Ручка 38  яшил</t>
  </si>
  <si>
    <t>Ручка 38  кизил</t>
  </si>
  <si>
    <t>Ручка 38  ок</t>
  </si>
  <si>
    <t>48мм КРИШКА</t>
  </si>
  <si>
    <t>Жами Кришка38 :</t>
  </si>
  <si>
    <t>Жами Ручка38 :</t>
  </si>
  <si>
    <t>Жами Кришка48 :</t>
  </si>
  <si>
    <t>48мм РУЧКА</t>
  </si>
  <si>
    <t>Жами Ручка48 :</t>
  </si>
  <si>
    <t>55 КРИШКА</t>
  </si>
  <si>
    <t>Кришка 55 кук</t>
  </si>
  <si>
    <t>Кришка 55 ок</t>
  </si>
  <si>
    <t>Жами Кришка55 :</t>
  </si>
  <si>
    <t>Кришка 48  кук</t>
  </si>
  <si>
    <t>Кришка 48  галубой</t>
  </si>
  <si>
    <t>Кришка 48 сарик</t>
  </si>
  <si>
    <t>Кришка 48  яшил</t>
  </si>
  <si>
    <t>Кришка 48  кизил</t>
  </si>
  <si>
    <t>Кришка 48  ок</t>
  </si>
  <si>
    <t>Ручка 48  кук</t>
  </si>
  <si>
    <t>Ручка 48  галубой</t>
  </si>
  <si>
    <t>Ручка 48  сарик</t>
  </si>
  <si>
    <t>Ручка 48  яшил</t>
  </si>
  <si>
    <t>Ручка 48  кизил</t>
  </si>
  <si>
    <t>Ручка 48  ок</t>
  </si>
  <si>
    <t>28мм Кришка ДКМ</t>
  </si>
  <si>
    <t>Кришка28 ДКМ сарик</t>
  </si>
  <si>
    <t>Кришка28 ДКМ кук</t>
  </si>
  <si>
    <t>Кришка28 ДКМ яшил</t>
  </si>
  <si>
    <t>Жами Кришка28 ДКМ:</t>
  </si>
  <si>
    <t>Кришка 48  апелсин</t>
  </si>
  <si>
    <t>Ручка 48  апелсин</t>
  </si>
  <si>
    <t>Кришка 28  кук газ</t>
  </si>
  <si>
    <t>Кришка 28  галубой газ</t>
  </si>
  <si>
    <t>Кришка 28  сарик газ</t>
  </si>
  <si>
    <t>Кришка 28  яшил газ</t>
  </si>
  <si>
    <t>Кришка 28  кизил газ</t>
  </si>
  <si>
    <t>Кришка 28  кора газ</t>
  </si>
  <si>
    <t>Кришка 48  сайхун</t>
  </si>
  <si>
    <t>Кришка 48 Доня</t>
  </si>
  <si>
    <t>Кришка 48  салат</t>
  </si>
  <si>
    <t>Ручка 48  сайхун</t>
  </si>
  <si>
    <t>Ручка 38  сайхун</t>
  </si>
  <si>
    <t>Кришка 38 сайхун</t>
  </si>
  <si>
    <t>Кришка 48 Бекажон</t>
  </si>
  <si>
    <t>Элёр гел</t>
  </si>
  <si>
    <t>Фахри ака ёг</t>
  </si>
  <si>
    <t>Мухташам оил</t>
  </si>
  <si>
    <t>Зилол сув</t>
  </si>
  <si>
    <t>Eco water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</si>
</sst>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20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left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7"/>
  <sheetViews>
    <sheetView tabSelected="1" workbookViewId="0">
      <selection activeCell="N7" sqref="N7"/>
    </sheetView>
  </sheetViews>
  <sheetFormatPr defaultRowHeight="14.4"/>
  <cols>
    <col min="1" max="1" width="4.6640625" style="12" customWidth="1"/>
    <col min="2" max="2" width="22.21875" style="12" customWidth="1"/>
    <col min="3" max="3" width="10.109375" style="12" customWidth="1"/>
    <col min="4" max="5" width="8.21875" style="12" customWidth="1"/>
    <col min="6" max="8" width="6.21875" style="12" customWidth="1"/>
    <col min="9" max="9" width="7.109375" style="12" customWidth="1"/>
    <col min="10" max="27" width="6.21875" style="12" customWidth="1"/>
    <col min="28" max="29" width="7.33203125" style="12" customWidth="1"/>
    <col min="30" max="30" width="8.88671875" style="13"/>
    <col min="31" max="16384" width="8.88671875" style="12"/>
  </cols>
  <sheetData>
    <row r="1" spans="1:30" s="1" customFormat="1" ht="29.4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5" t="s">
        <v>5</v>
      </c>
      <c r="G1" s="17"/>
      <c r="H1" s="16"/>
      <c r="I1" s="18" t="s">
        <v>6</v>
      </c>
      <c r="J1" s="15" t="s">
        <v>7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8" t="s">
        <v>8</v>
      </c>
      <c r="AC1" s="18" t="s">
        <v>9</v>
      </c>
      <c r="AD1" s="13"/>
    </row>
    <row r="2" spans="1:30" s="1" customFormat="1" ht="81" customHeight="1">
      <c r="A2" s="19"/>
      <c r="B2" s="19"/>
      <c r="C2" s="19"/>
      <c r="D2" s="19"/>
      <c r="E2" s="19"/>
      <c r="F2" s="2">
        <v>0.375</v>
      </c>
      <c r="G2" s="2">
        <v>0.75</v>
      </c>
      <c r="H2" s="3"/>
      <c r="I2" s="19"/>
      <c r="J2" s="4" t="s">
        <v>74</v>
      </c>
      <c r="K2" s="4" t="s">
        <v>75</v>
      </c>
      <c r="L2" s="4" t="s">
        <v>76</v>
      </c>
      <c r="M2" s="4" t="s">
        <v>77</v>
      </c>
      <c r="N2" s="4" t="s">
        <v>78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9"/>
      <c r="AC2" s="19"/>
      <c r="AD2" s="13"/>
    </row>
    <row r="3" spans="1:30" s="1" customFormat="1" ht="19.2" customHeight="1">
      <c r="A3" s="15" t="s">
        <v>12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6"/>
      <c r="AD3" s="13"/>
    </row>
    <row r="4" spans="1:30" s="1" customFormat="1" ht="19.2" customHeight="1">
      <c r="A4" s="3">
        <v>1</v>
      </c>
      <c r="B4" s="5" t="s">
        <v>61</v>
      </c>
      <c r="C4" s="6">
        <v>6000</v>
      </c>
      <c r="D4" s="7">
        <v>0</v>
      </c>
      <c r="E4" s="8">
        <f>AC4</f>
        <v>0</v>
      </c>
      <c r="F4" s="9"/>
      <c r="G4" s="9"/>
      <c r="H4" s="9"/>
      <c r="I4" s="9">
        <f t="shared" ref="I4:I10" si="0">+F4+G4+H4</f>
        <v>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>
        <f>+J4+K4+L4+M4+N4+O4+P4+Q4+R4+AA4+S4+T4+U4+Y4+Z4+V4+W4+X4</f>
        <v>0</v>
      </c>
      <c r="AC4" s="7">
        <f t="shared" ref="AC4:AC10" si="1">+D4+I4-AB4</f>
        <v>0</v>
      </c>
      <c r="AD4" s="13"/>
    </row>
    <row r="5" spans="1:30" s="1" customFormat="1" ht="19.2" customHeight="1">
      <c r="A5" s="3">
        <v>2</v>
      </c>
      <c r="B5" s="5" t="s">
        <v>62</v>
      </c>
      <c r="C5" s="6">
        <v>6000</v>
      </c>
      <c r="D5" s="7">
        <v>0</v>
      </c>
      <c r="E5" s="8">
        <f t="shared" ref="E5:E52" si="2">AC5</f>
        <v>0</v>
      </c>
      <c r="F5" s="9"/>
      <c r="G5" s="9"/>
      <c r="H5" s="9"/>
      <c r="I5" s="9">
        <f t="shared" si="0"/>
        <v>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>
        <f t="shared" ref="AB5:AB10" si="3">+J5+K5+L5+M5+N5+O5+P5+Q5+R5+AA5+S5+T5+U5+Y5+Z5+V5+W5+X5</f>
        <v>0</v>
      </c>
      <c r="AC5" s="7">
        <f t="shared" si="1"/>
        <v>0</v>
      </c>
      <c r="AD5" s="13"/>
    </row>
    <row r="6" spans="1:30" s="1" customFormat="1" ht="19.2" customHeight="1">
      <c r="A6" s="3">
        <v>3</v>
      </c>
      <c r="B6" s="5" t="s">
        <v>63</v>
      </c>
      <c r="C6" s="6">
        <v>6000</v>
      </c>
      <c r="D6" s="7">
        <v>0</v>
      </c>
      <c r="E6" s="8">
        <f t="shared" si="2"/>
        <v>0</v>
      </c>
      <c r="F6" s="9"/>
      <c r="G6" s="9"/>
      <c r="H6" s="9"/>
      <c r="I6" s="9">
        <f t="shared" si="0"/>
        <v>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>
        <f t="shared" si="3"/>
        <v>0</v>
      </c>
      <c r="AC6" s="7">
        <f t="shared" si="1"/>
        <v>0</v>
      </c>
      <c r="AD6" s="13"/>
    </row>
    <row r="7" spans="1:30" s="1" customFormat="1" ht="19.2" customHeight="1">
      <c r="A7" s="3">
        <v>4</v>
      </c>
      <c r="B7" s="5" t="s">
        <v>64</v>
      </c>
      <c r="C7" s="6">
        <v>6000</v>
      </c>
      <c r="D7" s="7">
        <v>0</v>
      </c>
      <c r="E7" s="8">
        <f t="shared" si="2"/>
        <v>0</v>
      </c>
      <c r="F7" s="9"/>
      <c r="G7" s="9"/>
      <c r="H7" s="9"/>
      <c r="I7" s="9">
        <f t="shared" si="0"/>
        <v>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>
        <f t="shared" si="3"/>
        <v>0</v>
      </c>
      <c r="AC7" s="7">
        <f t="shared" si="1"/>
        <v>0</v>
      </c>
      <c r="AD7" s="13"/>
    </row>
    <row r="8" spans="1:30" s="1" customFormat="1" ht="19.2" customHeight="1">
      <c r="A8" s="3">
        <v>5</v>
      </c>
      <c r="B8" s="5" t="s">
        <v>65</v>
      </c>
      <c r="C8" s="6">
        <v>6000</v>
      </c>
      <c r="D8" s="7">
        <v>0</v>
      </c>
      <c r="E8" s="8">
        <f t="shared" ref="E8:E9" si="4">AC8</f>
        <v>0</v>
      </c>
      <c r="F8" s="9"/>
      <c r="G8" s="9"/>
      <c r="H8" s="9"/>
      <c r="I8" s="9">
        <f t="shared" ref="I8:I9" si="5">+F8+G8+H8</f>
        <v>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>
        <f t="shared" ref="AB8:AB9" si="6">+J8+K8+L8+M8+N8+O8+P8+Q8+R8+AA8+S8+T8+U8+Y8+Z8+V8+W8+X8</f>
        <v>0</v>
      </c>
      <c r="AC8" s="7">
        <f t="shared" ref="AC8:AC9" si="7">+D8+I8-AB8</f>
        <v>0</v>
      </c>
      <c r="AD8" s="13"/>
    </row>
    <row r="9" spans="1:30" s="1" customFormat="1" ht="19.2" customHeight="1">
      <c r="A9" s="3">
        <v>6</v>
      </c>
      <c r="B9" s="5" t="s">
        <v>24</v>
      </c>
      <c r="C9" s="6">
        <v>6000</v>
      </c>
      <c r="D9" s="7">
        <v>0</v>
      </c>
      <c r="E9" s="8">
        <f t="shared" si="4"/>
        <v>0</v>
      </c>
      <c r="F9" s="9"/>
      <c r="G9" s="9"/>
      <c r="H9" s="9"/>
      <c r="I9" s="9">
        <f t="shared" si="5"/>
        <v>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>
        <f t="shared" si="6"/>
        <v>0</v>
      </c>
      <c r="AC9" s="7">
        <f t="shared" si="7"/>
        <v>0</v>
      </c>
      <c r="AD9" s="13"/>
    </row>
    <row r="10" spans="1:30" s="1" customFormat="1" ht="19.2" customHeight="1">
      <c r="A10" s="3">
        <v>7</v>
      </c>
      <c r="B10" s="5" t="s">
        <v>66</v>
      </c>
      <c r="C10" s="6">
        <v>6000</v>
      </c>
      <c r="D10" s="7">
        <v>0</v>
      </c>
      <c r="E10" s="8">
        <f t="shared" si="2"/>
        <v>0</v>
      </c>
      <c r="F10" s="9"/>
      <c r="G10" s="9"/>
      <c r="H10" s="9"/>
      <c r="I10" s="9">
        <f t="shared" si="0"/>
        <v>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>
        <f t="shared" si="3"/>
        <v>0</v>
      </c>
      <c r="AC10" s="7">
        <f t="shared" si="1"/>
        <v>0</v>
      </c>
      <c r="AD10" s="13"/>
    </row>
    <row r="11" spans="1:30" s="1" customFormat="1" ht="19.2" customHeight="1">
      <c r="A11" s="15" t="s">
        <v>13</v>
      </c>
      <c r="B11" s="16"/>
      <c r="C11" s="6" t="s">
        <v>10</v>
      </c>
      <c r="D11" s="7">
        <f>SUM(D4:D10)</f>
        <v>0</v>
      </c>
      <c r="E11" s="8">
        <f t="shared" si="2"/>
        <v>0</v>
      </c>
      <c r="F11" s="7">
        <f t="shared" ref="F11:AC11" si="8">SUM(F4:F10)</f>
        <v>0</v>
      </c>
      <c r="G11" s="7">
        <f t="shared" si="8"/>
        <v>0</v>
      </c>
      <c r="H11" s="7">
        <f t="shared" si="8"/>
        <v>0</v>
      </c>
      <c r="I11" s="7">
        <f t="shared" si="8"/>
        <v>0</v>
      </c>
      <c r="J11" s="7">
        <f t="shared" si="8"/>
        <v>0</v>
      </c>
      <c r="K11" s="7">
        <f t="shared" si="8"/>
        <v>0</v>
      </c>
      <c r="L11" s="7">
        <f t="shared" si="8"/>
        <v>0</v>
      </c>
      <c r="M11" s="7">
        <f t="shared" si="8"/>
        <v>0</v>
      </c>
      <c r="N11" s="7">
        <f t="shared" si="8"/>
        <v>0</v>
      </c>
      <c r="O11" s="7">
        <f t="shared" si="8"/>
        <v>0</v>
      </c>
      <c r="P11" s="7">
        <f t="shared" si="8"/>
        <v>0</v>
      </c>
      <c r="Q11" s="7">
        <f t="shared" si="8"/>
        <v>0</v>
      </c>
      <c r="R11" s="7">
        <f t="shared" si="8"/>
        <v>0</v>
      </c>
      <c r="S11" s="7">
        <f t="shared" si="8"/>
        <v>0</v>
      </c>
      <c r="T11" s="7">
        <f t="shared" si="8"/>
        <v>0</v>
      </c>
      <c r="U11" s="7">
        <f t="shared" si="8"/>
        <v>0</v>
      </c>
      <c r="V11" s="7">
        <f t="shared" si="8"/>
        <v>0</v>
      </c>
      <c r="W11" s="7">
        <f t="shared" si="8"/>
        <v>0</v>
      </c>
      <c r="X11" s="7">
        <f t="shared" si="8"/>
        <v>0</v>
      </c>
      <c r="Y11" s="7">
        <f t="shared" si="8"/>
        <v>0</v>
      </c>
      <c r="Z11" s="7">
        <f t="shared" si="8"/>
        <v>0</v>
      </c>
      <c r="AA11" s="7">
        <f t="shared" si="8"/>
        <v>0</v>
      </c>
      <c r="AB11" s="7">
        <f t="shared" si="8"/>
        <v>0</v>
      </c>
      <c r="AC11" s="7">
        <f t="shared" si="8"/>
        <v>0</v>
      </c>
      <c r="AD11" s="13"/>
    </row>
    <row r="12" spans="1:30" s="1" customFormat="1" ht="19.2" customHeight="1">
      <c r="A12" s="15" t="s">
        <v>16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6"/>
      <c r="AD12" s="13"/>
    </row>
    <row r="13" spans="1:30" s="1" customFormat="1" ht="19.2" customHeight="1">
      <c r="A13" s="3">
        <v>1</v>
      </c>
      <c r="B13" s="5" t="s">
        <v>15</v>
      </c>
      <c r="C13" s="6">
        <v>1500</v>
      </c>
      <c r="D13" s="7">
        <v>0</v>
      </c>
      <c r="E13" s="11">
        <f t="shared" si="2"/>
        <v>0</v>
      </c>
      <c r="F13" s="9"/>
      <c r="G13" s="9"/>
      <c r="H13" s="9"/>
      <c r="I13" s="9">
        <f t="shared" ref="I13:I14" si="9">+F13+G13+H13</f>
        <v>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f t="shared" ref="AB13:AB14" si="10">+J13+K13+L13+M13+N13+O13+P13+Q13+R13+AA13+S13+T13+U13+Y13+Z13+V13+W13+X13</f>
        <v>0</v>
      </c>
      <c r="AC13" s="7">
        <f t="shared" ref="AC13:AC14" si="11">+D13+I13-AB13</f>
        <v>0</v>
      </c>
      <c r="AD13" s="13"/>
    </row>
    <row r="14" spans="1:30" s="1" customFormat="1" ht="19.2" customHeight="1">
      <c r="A14" s="3">
        <v>2</v>
      </c>
      <c r="B14" s="5" t="s">
        <v>15</v>
      </c>
      <c r="C14" s="6">
        <v>2500</v>
      </c>
      <c r="D14" s="7">
        <v>0</v>
      </c>
      <c r="E14" s="11">
        <f t="shared" si="2"/>
        <v>0</v>
      </c>
      <c r="F14" s="9"/>
      <c r="G14" s="9"/>
      <c r="H14" s="9"/>
      <c r="I14" s="9">
        <f t="shared" si="9"/>
        <v>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f t="shared" si="10"/>
        <v>0</v>
      </c>
      <c r="AC14" s="7">
        <f t="shared" si="11"/>
        <v>0</v>
      </c>
      <c r="AD14" s="13"/>
    </row>
    <row r="15" spans="1:30" s="1" customFormat="1" ht="19.2" customHeight="1">
      <c r="A15" s="15" t="s">
        <v>14</v>
      </c>
      <c r="B15" s="16"/>
      <c r="C15" s="6" t="s">
        <v>10</v>
      </c>
      <c r="D15" s="7">
        <f>SUM(D13:D14)</f>
        <v>0</v>
      </c>
      <c r="E15" s="11">
        <f t="shared" si="2"/>
        <v>0</v>
      </c>
      <c r="F15" s="7">
        <f t="shared" ref="F15:AC15" si="12">SUM(F13:F14)</f>
        <v>0</v>
      </c>
      <c r="G15" s="7">
        <f t="shared" si="12"/>
        <v>0</v>
      </c>
      <c r="H15" s="7">
        <f t="shared" si="12"/>
        <v>0</v>
      </c>
      <c r="I15" s="7">
        <f t="shared" si="12"/>
        <v>0</v>
      </c>
      <c r="J15" s="7">
        <f t="shared" si="12"/>
        <v>0</v>
      </c>
      <c r="K15" s="7">
        <f t="shared" si="12"/>
        <v>0</v>
      </c>
      <c r="L15" s="7">
        <f t="shared" si="12"/>
        <v>0</v>
      </c>
      <c r="M15" s="7">
        <f t="shared" si="12"/>
        <v>0</v>
      </c>
      <c r="N15" s="7">
        <f t="shared" si="12"/>
        <v>0</v>
      </c>
      <c r="O15" s="7">
        <f t="shared" si="12"/>
        <v>0</v>
      </c>
      <c r="P15" s="7">
        <f t="shared" si="12"/>
        <v>0</v>
      </c>
      <c r="Q15" s="7">
        <f t="shared" si="12"/>
        <v>0</v>
      </c>
      <c r="R15" s="7">
        <f t="shared" si="12"/>
        <v>0</v>
      </c>
      <c r="S15" s="7">
        <f t="shared" si="12"/>
        <v>0</v>
      </c>
      <c r="T15" s="7">
        <f t="shared" si="12"/>
        <v>0</v>
      </c>
      <c r="U15" s="7">
        <f t="shared" si="12"/>
        <v>0</v>
      </c>
      <c r="V15" s="7">
        <f t="shared" si="12"/>
        <v>0</v>
      </c>
      <c r="W15" s="7">
        <f t="shared" si="12"/>
        <v>0</v>
      </c>
      <c r="X15" s="7">
        <f t="shared" si="12"/>
        <v>0</v>
      </c>
      <c r="Y15" s="7">
        <f t="shared" si="12"/>
        <v>0</v>
      </c>
      <c r="Z15" s="7">
        <f t="shared" si="12"/>
        <v>0</v>
      </c>
      <c r="AA15" s="7">
        <f t="shared" si="12"/>
        <v>0</v>
      </c>
      <c r="AB15" s="7">
        <f t="shared" si="12"/>
        <v>0</v>
      </c>
      <c r="AC15" s="7">
        <f t="shared" si="12"/>
        <v>0</v>
      </c>
      <c r="AD15" s="13"/>
    </row>
    <row r="16" spans="1:30" s="1" customFormat="1" ht="19.2" customHeight="1">
      <c r="A16" s="15" t="s">
        <v>54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6"/>
      <c r="AD16" s="13"/>
    </row>
    <row r="17" spans="1:30" s="1" customFormat="1" ht="19.2" customHeight="1">
      <c r="A17" s="3">
        <v>1</v>
      </c>
      <c r="B17" s="5" t="s">
        <v>55</v>
      </c>
      <c r="C17" s="6">
        <v>4000</v>
      </c>
      <c r="D17" s="7">
        <v>0</v>
      </c>
      <c r="E17" s="11">
        <f t="shared" ref="E17:E21" si="13">AC17</f>
        <v>0</v>
      </c>
      <c r="F17" s="9"/>
      <c r="G17" s="9"/>
      <c r="H17" s="9"/>
      <c r="I17" s="9">
        <f t="shared" ref="I17:I20" si="14">+F17+G17+H17</f>
        <v>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f t="shared" ref="AB17:AB20" si="15">+J17+K17+L17+M17+N17+O17+P17+Q17+R17+AA17+S17+T17+U17+Y17+Z17+V17+W17+X17</f>
        <v>0</v>
      </c>
      <c r="AC17" s="7">
        <f t="shared" ref="AC17:AC20" si="16">+D17+I17-AB17</f>
        <v>0</v>
      </c>
      <c r="AD17" s="13"/>
    </row>
    <row r="18" spans="1:30" s="1" customFormat="1" ht="19.2" customHeight="1">
      <c r="A18" s="3">
        <v>2</v>
      </c>
      <c r="B18" s="5" t="s">
        <v>56</v>
      </c>
      <c r="C18" s="6">
        <v>10000</v>
      </c>
      <c r="D18" s="7">
        <v>0</v>
      </c>
      <c r="E18" s="11">
        <f t="shared" ref="E18:E19" si="17">AC18</f>
        <v>0</v>
      </c>
      <c r="F18" s="9"/>
      <c r="G18" s="9"/>
      <c r="H18" s="9"/>
      <c r="I18" s="9">
        <f t="shared" ref="I18:I19" si="18">+F18+G18+H18</f>
        <v>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>
        <f t="shared" ref="AB18:AB19" si="19">+J18+K18+L18+M18+N18+O18+P18+Q18+R18+AA18+S18+T18+U18+Y18+Z18+V18+W18+X18</f>
        <v>0</v>
      </c>
      <c r="AC18" s="7">
        <f t="shared" ref="AC18:AC19" si="20">+D18+I18-AB18</f>
        <v>0</v>
      </c>
      <c r="AD18" s="13"/>
    </row>
    <row r="19" spans="1:30" s="1" customFormat="1" ht="19.2" customHeight="1">
      <c r="A19" s="3">
        <v>3</v>
      </c>
      <c r="B19" s="5" t="s">
        <v>56</v>
      </c>
      <c r="C19" s="6">
        <v>6000</v>
      </c>
      <c r="D19" s="7">
        <v>0</v>
      </c>
      <c r="E19" s="11">
        <f t="shared" si="17"/>
        <v>0</v>
      </c>
      <c r="F19" s="9"/>
      <c r="G19" s="9"/>
      <c r="H19" s="9"/>
      <c r="I19" s="9">
        <f t="shared" si="18"/>
        <v>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>
        <f t="shared" si="19"/>
        <v>0</v>
      </c>
      <c r="AC19" s="7">
        <f t="shared" si="20"/>
        <v>0</v>
      </c>
      <c r="AD19" s="13"/>
    </row>
    <row r="20" spans="1:30" s="1" customFormat="1" ht="19.2" customHeight="1">
      <c r="A20" s="3">
        <v>4</v>
      </c>
      <c r="B20" s="5" t="s">
        <v>57</v>
      </c>
      <c r="C20" s="6">
        <v>4000</v>
      </c>
      <c r="D20" s="7">
        <v>0</v>
      </c>
      <c r="E20" s="11">
        <f t="shared" si="13"/>
        <v>0</v>
      </c>
      <c r="F20" s="9"/>
      <c r="G20" s="9"/>
      <c r="H20" s="9"/>
      <c r="I20" s="9">
        <f t="shared" si="14"/>
        <v>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>
        <f t="shared" si="15"/>
        <v>0</v>
      </c>
      <c r="AC20" s="7">
        <f t="shared" si="16"/>
        <v>0</v>
      </c>
      <c r="AD20" s="13"/>
    </row>
    <row r="21" spans="1:30" s="1" customFormat="1" ht="19.2" customHeight="1">
      <c r="A21" s="15" t="s">
        <v>58</v>
      </c>
      <c r="B21" s="16"/>
      <c r="C21" s="6" t="s">
        <v>10</v>
      </c>
      <c r="D21" s="7">
        <f>SUM(D17:D20)</f>
        <v>0</v>
      </c>
      <c r="E21" s="11">
        <f t="shared" si="13"/>
        <v>0</v>
      </c>
      <c r="F21" s="7">
        <f t="shared" ref="F21" si="21">SUM(F17:F20)</f>
        <v>0</v>
      </c>
      <c r="G21" s="7">
        <f t="shared" ref="G21" si="22">SUM(G17:G20)</f>
        <v>0</v>
      </c>
      <c r="H21" s="7">
        <f t="shared" ref="H21" si="23">SUM(H17:H20)</f>
        <v>0</v>
      </c>
      <c r="I21" s="7">
        <f t="shared" ref="I21" si="24">SUM(I17:I20)</f>
        <v>0</v>
      </c>
      <c r="J21" s="7">
        <f t="shared" ref="J21" si="25">SUM(J17:J20)</f>
        <v>0</v>
      </c>
      <c r="K21" s="7">
        <f t="shared" ref="K21" si="26">SUM(K17:K20)</f>
        <v>0</v>
      </c>
      <c r="L21" s="7">
        <f t="shared" ref="L21" si="27">SUM(L17:L20)</f>
        <v>0</v>
      </c>
      <c r="M21" s="7">
        <f t="shared" ref="M21" si="28">SUM(M17:M20)</f>
        <v>0</v>
      </c>
      <c r="N21" s="7">
        <f t="shared" ref="N21" si="29">SUM(N17:N20)</f>
        <v>0</v>
      </c>
      <c r="O21" s="7">
        <f t="shared" ref="O21" si="30">SUM(O17:O20)</f>
        <v>0</v>
      </c>
      <c r="P21" s="7">
        <f t="shared" ref="P21" si="31">SUM(P17:P20)</f>
        <v>0</v>
      </c>
      <c r="Q21" s="7">
        <f t="shared" ref="Q21" si="32">SUM(Q17:Q20)</f>
        <v>0</v>
      </c>
      <c r="R21" s="7">
        <f t="shared" ref="R21" si="33">SUM(R17:R20)</f>
        <v>0</v>
      </c>
      <c r="S21" s="7">
        <f t="shared" ref="S21" si="34">SUM(S17:S20)</f>
        <v>0</v>
      </c>
      <c r="T21" s="7">
        <f t="shared" ref="T21" si="35">SUM(T17:T20)</f>
        <v>0</v>
      </c>
      <c r="U21" s="7">
        <f t="shared" ref="U21" si="36">SUM(U17:U20)</f>
        <v>0</v>
      </c>
      <c r="V21" s="7">
        <f t="shared" ref="V21" si="37">SUM(V17:V20)</f>
        <v>0</v>
      </c>
      <c r="W21" s="7">
        <f t="shared" ref="W21" si="38">SUM(W17:W20)</f>
        <v>0</v>
      </c>
      <c r="X21" s="7">
        <f t="shared" ref="X21" si="39">SUM(X17:X20)</f>
        <v>0</v>
      </c>
      <c r="Y21" s="7">
        <f t="shared" ref="Y21" si="40">SUM(Y17:Y20)</f>
        <v>0</v>
      </c>
      <c r="Z21" s="7">
        <f t="shared" ref="Z21" si="41">SUM(Z17:Z20)</f>
        <v>0</v>
      </c>
      <c r="AA21" s="7">
        <f t="shared" ref="AA21" si="42">SUM(AA17:AA20)</f>
        <v>0</v>
      </c>
      <c r="AB21" s="7">
        <f t="shared" ref="AB21" si="43">SUM(AB17:AB20)</f>
        <v>0</v>
      </c>
      <c r="AC21" s="7">
        <f t="shared" ref="AC21" si="44">SUM(AC17:AC20)</f>
        <v>0</v>
      </c>
      <c r="AD21" s="13"/>
    </row>
    <row r="22" spans="1:30" ht="19.2" customHeight="1">
      <c r="A22" s="15" t="s">
        <v>17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6"/>
    </row>
    <row r="23" spans="1:30" ht="19.2" customHeight="1">
      <c r="A23" s="3">
        <v>1</v>
      </c>
      <c r="B23" s="5" t="s">
        <v>18</v>
      </c>
      <c r="C23" s="6">
        <v>3000</v>
      </c>
      <c r="D23" s="7">
        <v>90</v>
      </c>
      <c r="E23" s="11">
        <f t="shared" si="2"/>
        <v>88</v>
      </c>
      <c r="F23" s="9"/>
      <c r="G23" s="9"/>
      <c r="H23" s="9"/>
      <c r="I23" s="9">
        <f t="shared" ref="I23:I29" si="45">+F23+G23+H23</f>
        <v>0</v>
      </c>
      <c r="J23" s="10"/>
      <c r="K23" s="10"/>
      <c r="L23" s="10"/>
      <c r="M23" s="10"/>
      <c r="N23" s="10">
        <v>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>
        <f t="shared" ref="AB23:AB29" si="46">+J23+K23+L23+M23+N23+O23+P23+Q23+R23+AA23+S23+T23+U23+Y23+Z23+V23+W23+X23</f>
        <v>2</v>
      </c>
      <c r="AC23" s="7">
        <f t="shared" ref="AC23:AC29" si="47">+D23+I23-AB23</f>
        <v>88</v>
      </c>
    </row>
    <row r="24" spans="1:30" ht="19.2" customHeight="1">
      <c r="A24" s="3">
        <v>2</v>
      </c>
      <c r="B24" s="5" t="s">
        <v>19</v>
      </c>
      <c r="C24" s="6">
        <v>3000</v>
      </c>
      <c r="D24" s="7"/>
      <c r="E24" s="11">
        <f t="shared" si="2"/>
        <v>0</v>
      </c>
      <c r="F24" s="9"/>
      <c r="G24" s="9"/>
      <c r="H24" s="9"/>
      <c r="I24" s="9">
        <f t="shared" si="45"/>
        <v>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f t="shared" si="46"/>
        <v>0</v>
      </c>
      <c r="AC24" s="7">
        <f t="shared" si="47"/>
        <v>0</v>
      </c>
    </row>
    <row r="25" spans="1:30" ht="19.2" customHeight="1">
      <c r="A25" s="3">
        <v>3</v>
      </c>
      <c r="B25" s="5" t="s">
        <v>20</v>
      </c>
      <c r="C25" s="6">
        <v>3000</v>
      </c>
      <c r="D25" s="7">
        <v>73</v>
      </c>
      <c r="E25" s="11">
        <f t="shared" si="2"/>
        <v>90</v>
      </c>
      <c r="F25" s="9">
        <v>17</v>
      </c>
      <c r="G25" s="9"/>
      <c r="H25" s="9"/>
      <c r="I25" s="9">
        <f t="shared" si="45"/>
        <v>17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>
        <f t="shared" si="46"/>
        <v>0</v>
      </c>
      <c r="AC25" s="7">
        <f t="shared" si="47"/>
        <v>90</v>
      </c>
    </row>
    <row r="26" spans="1:30" ht="19.2" customHeight="1">
      <c r="A26" s="3">
        <v>4</v>
      </c>
      <c r="B26" s="5" t="s">
        <v>21</v>
      </c>
      <c r="C26" s="6">
        <v>3000</v>
      </c>
      <c r="D26" s="7">
        <v>9</v>
      </c>
      <c r="E26" s="11">
        <f t="shared" si="2"/>
        <v>9</v>
      </c>
      <c r="F26" s="9"/>
      <c r="G26" s="9"/>
      <c r="H26" s="9"/>
      <c r="I26" s="9">
        <f t="shared" si="45"/>
        <v>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f t="shared" si="46"/>
        <v>0</v>
      </c>
      <c r="AC26" s="7">
        <f t="shared" si="47"/>
        <v>9</v>
      </c>
    </row>
    <row r="27" spans="1:30" ht="19.2" customHeight="1">
      <c r="A27" s="3">
        <v>5</v>
      </c>
      <c r="B27" s="5" t="s">
        <v>72</v>
      </c>
      <c r="C27" s="6">
        <v>3000</v>
      </c>
      <c r="D27" s="7">
        <v>34</v>
      </c>
      <c r="E27" s="11">
        <f t="shared" ref="E27" si="48">AC27</f>
        <v>34</v>
      </c>
      <c r="F27" s="9"/>
      <c r="G27" s="9"/>
      <c r="H27" s="9"/>
      <c r="I27" s="9">
        <f t="shared" ref="I27" si="49">+F27+G27+H27</f>
        <v>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>
        <f t="shared" ref="AB27" si="50">+J27+K27+L27+M27+N27+O27+P27+Q27+R27+AA27+S27+T27+U27+Y27+Z27+V27+W27+X27</f>
        <v>0</v>
      </c>
      <c r="AC27" s="7">
        <f t="shared" ref="AC27" si="51">+D27+I27-AB27</f>
        <v>34</v>
      </c>
    </row>
    <row r="28" spans="1:30" ht="19.2" customHeight="1">
      <c r="A28" s="3">
        <v>6</v>
      </c>
      <c r="B28" s="5" t="s">
        <v>22</v>
      </c>
      <c r="C28" s="6">
        <v>3000</v>
      </c>
      <c r="D28" s="7">
        <v>50</v>
      </c>
      <c r="E28" s="11">
        <f t="shared" ref="E28" si="52">AC28</f>
        <v>50</v>
      </c>
      <c r="F28" s="9"/>
      <c r="G28" s="9"/>
      <c r="H28" s="9"/>
      <c r="I28" s="9">
        <f t="shared" si="45"/>
        <v>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f t="shared" ref="AB28" si="53">+J28+K28+L28+M28+N28+O28+P28+Q28+R28+AA28+S28+T28+U28+Y28+Z28+V28+W28+X28</f>
        <v>0</v>
      </c>
      <c r="AC28" s="7">
        <f t="shared" si="47"/>
        <v>50</v>
      </c>
    </row>
    <row r="29" spans="1:30" ht="19.2" customHeight="1">
      <c r="A29" s="3">
        <v>7</v>
      </c>
      <c r="B29" s="5" t="s">
        <v>23</v>
      </c>
      <c r="C29" s="6">
        <v>3000</v>
      </c>
      <c r="D29" s="7">
        <v>40</v>
      </c>
      <c r="E29" s="11">
        <f t="shared" si="2"/>
        <v>40</v>
      </c>
      <c r="F29" s="9"/>
      <c r="G29" s="9"/>
      <c r="H29" s="9"/>
      <c r="I29" s="9">
        <f t="shared" si="45"/>
        <v>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>
        <f t="shared" si="46"/>
        <v>0</v>
      </c>
      <c r="AC29" s="7">
        <f t="shared" si="47"/>
        <v>40</v>
      </c>
    </row>
    <row r="30" spans="1:30" ht="19.2" customHeight="1">
      <c r="A30" s="15" t="s">
        <v>33</v>
      </c>
      <c r="B30" s="16"/>
      <c r="C30" s="6" t="s">
        <v>10</v>
      </c>
      <c r="D30" s="7">
        <f t="shared" ref="D30:AC30" si="54">SUM(D23:D29)</f>
        <v>296</v>
      </c>
      <c r="E30" s="11">
        <f t="shared" si="2"/>
        <v>311</v>
      </c>
      <c r="F30" s="7">
        <f t="shared" si="54"/>
        <v>17</v>
      </c>
      <c r="G30" s="7">
        <f t="shared" si="54"/>
        <v>0</v>
      </c>
      <c r="H30" s="7">
        <f t="shared" si="54"/>
        <v>0</v>
      </c>
      <c r="I30" s="7">
        <f t="shared" si="54"/>
        <v>17</v>
      </c>
      <c r="J30" s="7">
        <f t="shared" si="54"/>
        <v>0</v>
      </c>
      <c r="K30" s="7">
        <f t="shared" si="54"/>
        <v>0</v>
      </c>
      <c r="L30" s="7">
        <f t="shared" si="54"/>
        <v>0</v>
      </c>
      <c r="M30" s="7">
        <f t="shared" si="54"/>
        <v>0</v>
      </c>
      <c r="N30" s="7">
        <f t="shared" si="54"/>
        <v>2</v>
      </c>
      <c r="O30" s="7">
        <f t="shared" si="54"/>
        <v>0</v>
      </c>
      <c r="P30" s="7">
        <f t="shared" si="54"/>
        <v>0</v>
      </c>
      <c r="Q30" s="7">
        <f t="shared" si="54"/>
        <v>0</v>
      </c>
      <c r="R30" s="7">
        <f t="shared" si="54"/>
        <v>0</v>
      </c>
      <c r="S30" s="7">
        <f t="shared" si="54"/>
        <v>0</v>
      </c>
      <c r="T30" s="7">
        <f t="shared" si="54"/>
        <v>0</v>
      </c>
      <c r="U30" s="7">
        <f t="shared" si="54"/>
        <v>0</v>
      </c>
      <c r="V30" s="7">
        <f t="shared" ref="V30:X30" si="55">SUM(V23:V29)</f>
        <v>0</v>
      </c>
      <c r="W30" s="7">
        <f t="shared" si="55"/>
        <v>0</v>
      </c>
      <c r="X30" s="7">
        <f t="shared" si="55"/>
        <v>0</v>
      </c>
      <c r="Y30" s="7">
        <f t="shared" si="54"/>
        <v>0</v>
      </c>
      <c r="Z30" s="7">
        <f t="shared" si="54"/>
        <v>0</v>
      </c>
      <c r="AA30" s="7">
        <f t="shared" si="54"/>
        <v>0</v>
      </c>
      <c r="AB30" s="7">
        <f t="shared" si="54"/>
        <v>2</v>
      </c>
      <c r="AC30" s="7">
        <f t="shared" si="54"/>
        <v>311</v>
      </c>
    </row>
    <row r="31" spans="1:30" s="13" customFormat="1" ht="19.2" customHeight="1">
      <c r="A31" s="15" t="s">
        <v>25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6"/>
    </row>
    <row r="32" spans="1:30" s="13" customFormat="1" ht="19.2" customHeight="1">
      <c r="A32" s="3">
        <v>1</v>
      </c>
      <c r="B32" s="5" t="s">
        <v>26</v>
      </c>
      <c r="C32" s="6">
        <v>2000</v>
      </c>
      <c r="D32" s="7">
        <v>169</v>
      </c>
      <c r="E32" s="11">
        <f t="shared" si="2"/>
        <v>167</v>
      </c>
      <c r="F32" s="9"/>
      <c r="G32" s="9"/>
      <c r="H32" s="9"/>
      <c r="I32" s="9">
        <f t="shared" ref="I32:I38" si="56">+F32+G32+H32</f>
        <v>0</v>
      </c>
      <c r="J32" s="10"/>
      <c r="K32" s="10"/>
      <c r="L32" s="10"/>
      <c r="M32" s="10"/>
      <c r="N32" s="10">
        <v>2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>
        <f t="shared" ref="AB32:AB38" si="57">+J32+K32+L32+M32+N32+O32+P32+Q32+R32+AA32+S32+T32+U32+Y32+Z32+V32+W32+X32</f>
        <v>2</v>
      </c>
      <c r="AC32" s="7">
        <f t="shared" ref="AC32:AC38" si="58">+D32+I32-AB32</f>
        <v>167</v>
      </c>
    </row>
    <row r="33" spans="1:29" s="13" customFormat="1" ht="19.2" customHeight="1">
      <c r="A33" s="3">
        <v>2</v>
      </c>
      <c r="B33" s="5" t="s">
        <v>27</v>
      </c>
      <c r="C33" s="6">
        <v>2000</v>
      </c>
      <c r="D33" s="7">
        <v>0</v>
      </c>
      <c r="E33" s="11">
        <f t="shared" si="2"/>
        <v>0</v>
      </c>
      <c r="F33" s="9"/>
      <c r="G33" s="9"/>
      <c r="H33" s="9"/>
      <c r="I33" s="9">
        <f t="shared" si="56"/>
        <v>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>
        <f t="shared" si="57"/>
        <v>0</v>
      </c>
      <c r="AC33" s="7">
        <f t="shared" si="58"/>
        <v>0</v>
      </c>
    </row>
    <row r="34" spans="1:29" s="13" customFormat="1" ht="19.2" customHeight="1">
      <c r="A34" s="3">
        <v>3</v>
      </c>
      <c r="B34" s="5" t="s">
        <v>28</v>
      </c>
      <c r="C34" s="6">
        <v>2000</v>
      </c>
      <c r="D34" s="7">
        <v>44</v>
      </c>
      <c r="E34" s="11">
        <f t="shared" si="2"/>
        <v>44</v>
      </c>
      <c r="F34" s="9"/>
      <c r="G34" s="9"/>
      <c r="H34" s="9"/>
      <c r="I34" s="9">
        <f t="shared" si="56"/>
        <v>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>
        <f t="shared" si="57"/>
        <v>0</v>
      </c>
      <c r="AC34" s="7">
        <f t="shared" si="58"/>
        <v>44</v>
      </c>
    </row>
    <row r="35" spans="1:29" s="13" customFormat="1" ht="19.2" customHeight="1">
      <c r="A35" s="3">
        <v>4</v>
      </c>
      <c r="B35" s="5" t="s">
        <v>29</v>
      </c>
      <c r="C35" s="6">
        <v>2000</v>
      </c>
      <c r="D35" s="7">
        <v>23</v>
      </c>
      <c r="E35" s="11">
        <f t="shared" si="2"/>
        <v>23</v>
      </c>
      <c r="F35" s="9"/>
      <c r="G35" s="9"/>
      <c r="H35" s="9"/>
      <c r="I35" s="9">
        <f t="shared" si="56"/>
        <v>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>
        <f t="shared" si="57"/>
        <v>0</v>
      </c>
      <c r="AC35" s="7">
        <f t="shared" si="58"/>
        <v>23</v>
      </c>
    </row>
    <row r="36" spans="1:29" s="13" customFormat="1" ht="19.2" customHeight="1">
      <c r="A36" s="3">
        <v>5</v>
      </c>
      <c r="B36" s="5" t="s">
        <v>71</v>
      </c>
      <c r="C36" s="6">
        <v>2000</v>
      </c>
      <c r="D36" s="7">
        <v>30</v>
      </c>
      <c r="E36" s="11">
        <f t="shared" ref="E36" si="59">AC36</f>
        <v>30</v>
      </c>
      <c r="F36" s="9"/>
      <c r="G36" s="9"/>
      <c r="H36" s="9"/>
      <c r="I36" s="9">
        <f t="shared" ref="I36" si="60">+F36+G36+H36</f>
        <v>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>
        <f t="shared" ref="AB36" si="61">+J36+K36+L36+M36+N36+O36+P36+Q36+R36+AA36+S36+T36+U36+Y36+Z36+V36+W36+X36</f>
        <v>0</v>
      </c>
      <c r="AC36" s="7">
        <f t="shared" ref="AC36" si="62">+D36+I36-AB36</f>
        <v>30</v>
      </c>
    </row>
    <row r="37" spans="1:29" s="13" customFormat="1" ht="19.2" customHeight="1">
      <c r="A37" s="3">
        <v>6</v>
      </c>
      <c r="B37" s="5" t="s">
        <v>30</v>
      </c>
      <c r="C37" s="6">
        <v>2000</v>
      </c>
      <c r="D37" s="7">
        <v>25</v>
      </c>
      <c r="E37" s="11">
        <f t="shared" si="2"/>
        <v>25</v>
      </c>
      <c r="F37" s="9"/>
      <c r="G37" s="9"/>
      <c r="H37" s="9"/>
      <c r="I37" s="9">
        <f t="shared" si="56"/>
        <v>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>
        <f t="shared" si="57"/>
        <v>0</v>
      </c>
      <c r="AC37" s="7">
        <f t="shared" si="58"/>
        <v>25</v>
      </c>
    </row>
    <row r="38" spans="1:29" s="13" customFormat="1" ht="19.2" customHeight="1">
      <c r="A38" s="3">
        <v>7</v>
      </c>
      <c r="B38" s="5" t="s">
        <v>31</v>
      </c>
      <c r="C38" s="6">
        <v>2000</v>
      </c>
      <c r="D38" s="7">
        <v>35</v>
      </c>
      <c r="E38" s="11">
        <f t="shared" si="2"/>
        <v>35</v>
      </c>
      <c r="F38" s="9"/>
      <c r="G38" s="9"/>
      <c r="H38" s="9"/>
      <c r="I38" s="9">
        <f t="shared" si="56"/>
        <v>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>
        <f t="shared" si="57"/>
        <v>0</v>
      </c>
      <c r="AC38" s="7">
        <f t="shared" si="58"/>
        <v>35</v>
      </c>
    </row>
    <row r="39" spans="1:29" s="13" customFormat="1" ht="19.2" customHeight="1">
      <c r="A39" s="15" t="s">
        <v>34</v>
      </c>
      <c r="B39" s="16"/>
      <c r="C39" s="6" t="s">
        <v>10</v>
      </c>
      <c r="D39" s="7">
        <f t="shared" ref="D39:AC39" si="63">SUM(D32:D38)</f>
        <v>326</v>
      </c>
      <c r="E39" s="11">
        <f t="shared" si="2"/>
        <v>324</v>
      </c>
      <c r="F39" s="7">
        <f t="shared" si="63"/>
        <v>0</v>
      </c>
      <c r="G39" s="7">
        <f t="shared" si="63"/>
        <v>0</v>
      </c>
      <c r="H39" s="7">
        <f t="shared" si="63"/>
        <v>0</v>
      </c>
      <c r="I39" s="7">
        <f t="shared" si="63"/>
        <v>0</v>
      </c>
      <c r="J39" s="7">
        <f t="shared" si="63"/>
        <v>0</v>
      </c>
      <c r="K39" s="7">
        <f t="shared" si="63"/>
        <v>0</v>
      </c>
      <c r="L39" s="7">
        <f t="shared" si="63"/>
        <v>0</v>
      </c>
      <c r="M39" s="7">
        <f t="shared" si="63"/>
        <v>0</v>
      </c>
      <c r="N39" s="7">
        <f t="shared" si="63"/>
        <v>2</v>
      </c>
      <c r="O39" s="7">
        <f t="shared" si="63"/>
        <v>0</v>
      </c>
      <c r="P39" s="7">
        <f t="shared" si="63"/>
        <v>0</v>
      </c>
      <c r="Q39" s="7">
        <f t="shared" si="63"/>
        <v>0</v>
      </c>
      <c r="R39" s="7">
        <f t="shared" si="63"/>
        <v>0</v>
      </c>
      <c r="S39" s="7">
        <f t="shared" si="63"/>
        <v>0</v>
      </c>
      <c r="T39" s="7">
        <f t="shared" si="63"/>
        <v>0</v>
      </c>
      <c r="U39" s="7">
        <f t="shared" si="63"/>
        <v>0</v>
      </c>
      <c r="V39" s="7">
        <f t="shared" ref="V39:X39" si="64">SUM(V32:V38)</f>
        <v>0</v>
      </c>
      <c r="W39" s="7">
        <f t="shared" si="64"/>
        <v>0</v>
      </c>
      <c r="X39" s="7">
        <f t="shared" si="64"/>
        <v>0</v>
      </c>
      <c r="Y39" s="7">
        <f t="shared" si="63"/>
        <v>0</v>
      </c>
      <c r="Z39" s="7">
        <f t="shared" si="63"/>
        <v>0</v>
      </c>
      <c r="AA39" s="7">
        <f t="shared" si="63"/>
        <v>0</v>
      </c>
      <c r="AB39" s="7">
        <f t="shared" si="63"/>
        <v>2</v>
      </c>
      <c r="AC39" s="7">
        <f t="shared" si="63"/>
        <v>324</v>
      </c>
    </row>
    <row r="40" spans="1:29" s="13" customFormat="1" ht="19.2" customHeight="1">
      <c r="A40" s="15" t="s">
        <v>32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6"/>
    </row>
    <row r="41" spans="1:29" s="13" customFormat="1" ht="19.2" customHeight="1">
      <c r="A41" s="3">
        <v>1</v>
      </c>
      <c r="B41" s="5" t="s">
        <v>42</v>
      </c>
      <c r="C41" s="6">
        <v>2000</v>
      </c>
      <c r="D41" s="7">
        <v>42</v>
      </c>
      <c r="E41" s="11">
        <f t="shared" si="2"/>
        <v>70</v>
      </c>
      <c r="F41" s="9">
        <v>33</v>
      </c>
      <c r="G41" s="9"/>
      <c r="H41" s="9"/>
      <c r="I41" s="9">
        <f t="shared" ref="I41:I51" si="65">+F41+G41+H41</f>
        <v>33</v>
      </c>
      <c r="J41" s="10">
        <v>4</v>
      </c>
      <c r="K41" s="10"/>
      <c r="L41" s="10"/>
      <c r="M41" s="10">
        <v>1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>
        <f t="shared" ref="AB41:AB51" si="66">+J41+K41+L41+M41+N41+O41+P41+Q41+R41+AA41+S41+T41+U41+Y41+Z41+V41+W41+X41</f>
        <v>5</v>
      </c>
      <c r="AC41" s="7">
        <f t="shared" ref="AC41:AC51" si="67">+D41+I41-AB41</f>
        <v>70</v>
      </c>
    </row>
    <row r="42" spans="1:29" s="13" customFormat="1" ht="19.2" customHeight="1">
      <c r="A42" s="3">
        <v>2</v>
      </c>
      <c r="B42" s="5" t="s">
        <v>43</v>
      </c>
      <c r="C42" s="6">
        <v>2000</v>
      </c>
      <c r="D42" s="7">
        <v>8</v>
      </c>
      <c r="E42" s="11">
        <f t="shared" si="2"/>
        <v>8</v>
      </c>
      <c r="F42" s="9"/>
      <c r="G42" s="14"/>
      <c r="H42" s="9"/>
      <c r="I42" s="9">
        <f t="shared" si="65"/>
        <v>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>
        <f t="shared" si="66"/>
        <v>0</v>
      </c>
      <c r="AC42" s="7">
        <f t="shared" si="67"/>
        <v>8</v>
      </c>
    </row>
    <row r="43" spans="1:29" s="13" customFormat="1" ht="19.2" customHeight="1">
      <c r="A43" s="3">
        <v>3</v>
      </c>
      <c r="B43" s="5" t="s">
        <v>44</v>
      </c>
      <c r="C43" s="6">
        <v>2000</v>
      </c>
      <c r="D43" s="7">
        <v>75</v>
      </c>
      <c r="E43" s="11">
        <f t="shared" si="2"/>
        <v>75</v>
      </c>
      <c r="F43" s="9"/>
      <c r="G43" s="9"/>
      <c r="H43" s="9"/>
      <c r="I43" s="9">
        <f t="shared" si="65"/>
        <v>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f t="shared" si="66"/>
        <v>0</v>
      </c>
      <c r="AC43" s="7">
        <f t="shared" si="67"/>
        <v>75</v>
      </c>
    </row>
    <row r="44" spans="1:29" s="13" customFormat="1" ht="19.2" customHeight="1">
      <c r="A44" s="3">
        <v>4</v>
      </c>
      <c r="B44" s="5" t="s">
        <v>68</v>
      </c>
      <c r="C44" s="6">
        <v>2000</v>
      </c>
      <c r="D44" s="7">
        <v>44</v>
      </c>
      <c r="E44" s="11">
        <f t="shared" ref="E44" si="68">AC44</f>
        <v>44</v>
      </c>
      <c r="F44" s="9"/>
      <c r="G44" s="9"/>
      <c r="H44" s="9"/>
      <c r="I44" s="9">
        <f t="shared" ref="I44" si="69">+F44+G44+H44</f>
        <v>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>
        <f t="shared" ref="AB44" si="70">+J44+K44+L44+M44+N44+O44+P44+Q44+R44+AA44+S44+T44+U44+Y44+Z44+V44+W44+X44</f>
        <v>0</v>
      </c>
      <c r="AC44" s="7">
        <f t="shared" ref="AC44" si="71">+D44+I44-AB44</f>
        <v>44</v>
      </c>
    </row>
    <row r="45" spans="1:29" s="13" customFormat="1" ht="19.2" customHeight="1">
      <c r="A45" s="3">
        <v>5</v>
      </c>
      <c r="B45" s="5" t="s">
        <v>73</v>
      </c>
      <c r="C45" s="6">
        <v>2000</v>
      </c>
      <c r="D45" s="7">
        <v>0</v>
      </c>
      <c r="E45" s="11">
        <f t="shared" ref="E45" si="72">AC45</f>
        <v>0</v>
      </c>
      <c r="F45" s="9"/>
      <c r="G45" s="9"/>
      <c r="H45" s="9"/>
      <c r="I45" s="9">
        <f t="shared" ref="I45" si="73">+F45+G45+H45</f>
        <v>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f t="shared" ref="AB45" si="74">+J45+K45+L45+M45+N45+O45+P45+Q45+R45+AA45+S45+T45+U45+Y45+Z45+V45+W45+X45</f>
        <v>0</v>
      </c>
      <c r="AC45" s="7">
        <f t="shared" ref="AC45" si="75">+D45+I45-AB45</f>
        <v>0</v>
      </c>
    </row>
    <row r="46" spans="1:29" s="13" customFormat="1" ht="19.2" customHeight="1">
      <c r="A46" s="3">
        <v>6</v>
      </c>
      <c r="B46" s="5" t="s">
        <v>45</v>
      </c>
      <c r="C46" s="6">
        <v>2000</v>
      </c>
      <c r="D46" s="7">
        <v>89</v>
      </c>
      <c r="E46" s="11">
        <f t="shared" si="2"/>
        <v>89</v>
      </c>
      <c r="F46" s="9"/>
      <c r="G46" s="9"/>
      <c r="H46" s="9"/>
      <c r="I46" s="9">
        <f t="shared" si="65"/>
        <v>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>
        <f t="shared" si="66"/>
        <v>0</v>
      </c>
      <c r="AC46" s="7">
        <f t="shared" si="67"/>
        <v>89</v>
      </c>
    </row>
    <row r="47" spans="1:29" s="13" customFormat="1" ht="19.2" customHeight="1">
      <c r="A47" s="3">
        <v>7</v>
      </c>
      <c r="B47" s="5" t="s">
        <v>59</v>
      </c>
      <c r="C47" s="6">
        <v>2000</v>
      </c>
      <c r="D47" s="7">
        <v>150</v>
      </c>
      <c r="E47" s="11">
        <f t="shared" ref="E47:E49" si="76">AC47</f>
        <v>144</v>
      </c>
      <c r="F47" s="9"/>
      <c r="G47" s="9"/>
      <c r="H47" s="9"/>
      <c r="I47" s="9">
        <f t="shared" ref="I47:I49" si="77">+F47+G47+H47</f>
        <v>0</v>
      </c>
      <c r="J47" s="10"/>
      <c r="K47" s="10">
        <v>3</v>
      </c>
      <c r="L47" s="10">
        <v>3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>
        <f t="shared" ref="AB47:AB49" si="78">+J47+K47+L47+M47+N47+O47+P47+Q47+R47+AA47+S47+T47+U47+Y47+Z47+V47+W47+X47</f>
        <v>6</v>
      </c>
      <c r="AC47" s="7">
        <f t="shared" ref="AC47:AC49" si="79">+D47+I47-AB47</f>
        <v>144</v>
      </c>
    </row>
    <row r="48" spans="1:29" s="13" customFormat="1" ht="19.2" customHeight="1">
      <c r="A48" s="3">
        <v>8</v>
      </c>
      <c r="B48" s="5" t="s">
        <v>46</v>
      </c>
      <c r="C48" s="6">
        <v>2000</v>
      </c>
      <c r="D48" s="7">
        <v>40</v>
      </c>
      <c r="E48" s="11">
        <f t="shared" si="76"/>
        <v>38</v>
      </c>
      <c r="F48" s="9"/>
      <c r="G48" s="9"/>
      <c r="H48" s="9"/>
      <c r="I48" s="9">
        <f t="shared" si="77"/>
        <v>0</v>
      </c>
      <c r="J48" s="10"/>
      <c r="K48" s="10">
        <v>1</v>
      </c>
      <c r="L48" s="10">
        <v>1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>
        <f t="shared" si="78"/>
        <v>2</v>
      </c>
      <c r="AC48" s="7">
        <f t="shared" si="79"/>
        <v>38</v>
      </c>
    </row>
    <row r="49" spans="1:29" s="13" customFormat="1" ht="19.2" customHeight="1">
      <c r="A49" s="3">
        <v>9</v>
      </c>
      <c r="B49" s="5" t="s">
        <v>67</v>
      </c>
      <c r="C49" s="6">
        <v>2000</v>
      </c>
      <c r="D49" s="7">
        <v>0</v>
      </c>
      <c r="E49" s="11">
        <f t="shared" si="76"/>
        <v>0</v>
      </c>
      <c r="F49" s="9"/>
      <c r="G49" s="9"/>
      <c r="H49" s="9"/>
      <c r="I49" s="9">
        <f t="shared" si="77"/>
        <v>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>
        <f t="shared" si="78"/>
        <v>0</v>
      </c>
      <c r="AC49" s="7">
        <f t="shared" si="79"/>
        <v>0</v>
      </c>
    </row>
    <row r="50" spans="1:29" s="13" customFormat="1" ht="19.2" customHeight="1">
      <c r="A50" s="3">
        <v>10</v>
      </c>
      <c r="B50" s="5" t="s">
        <v>69</v>
      </c>
      <c r="C50" s="6">
        <v>2000</v>
      </c>
      <c r="D50" s="7">
        <v>5</v>
      </c>
      <c r="E50" s="11">
        <f t="shared" si="2"/>
        <v>5</v>
      </c>
      <c r="F50" s="9"/>
      <c r="G50" s="9"/>
      <c r="H50" s="9"/>
      <c r="I50" s="9">
        <f t="shared" si="65"/>
        <v>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>
        <f t="shared" si="66"/>
        <v>0</v>
      </c>
      <c r="AC50" s="7">
        <f t="shared" si="67"/>
        <v>5</v>
      </c>
    </row>
    <row r="51" spans="1:29" s="13" customFormat="1" ht="19.2" customHeight="1">
      <c r="A51" s="3">
        <v>11</v>
      </c>
      <c r="B51" s="5" t="s">
        <v>47</v>
      </c>
      <c r="C51" s="6">
        <v>2000</v>
      </c>
      <c r="D51" s="7">
        <v>86</v>
      </c>
      <c r="E51" s="11">
        <f t="shared" si="2"/>
        <v>86</v>
      </c>
      <c r="F51" s="9"/>
      <c r="G51" s="9"/>
      <c r="H51" s="9"/>
      <c r="I51" s="9">
        <f t="shared" si="65"/>
        <v>0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>
        <f t="shared" si="66"/>
        <v>0</v>
      </c>
      <c r="AC51" s="7">
        <f t="shared" si="67"/>
        <v>86</v>
      </c>
    </row>
    <row r="52" spans="1:29" s="13" customFormat="1" ht="19.2" customHeight="1">
      <c r="A52" s="15" t="s">
        <v>35</v>
      </c>
      <c r="B52" s="16"/>
      <c r="C52" s="6" t="s">
        <v>10</v>
      </c>
      <c r="D52" s="7">
        <f>SUM(D41:D51)</f>
        <v>539</v>
      </c>
      <c r="E52" s="11">
        <f t="shared" si="2"/>
        <v>559</v>
      </c>
      <c r="F52" s="7">
        <f t="shared" ref="F52:AC52" si="80">SUM(F41:F51)</f>
        <v>33</v>
      </c>
      <c r="G52" s="7">
        <f t="shared" si="80"/>
        <v>0</v>
      </c>
      <c r="H52" s="7">
        <f t="shared" si="80"/>
        <v>0</v>
      </c>
      <c r="I52" s="7">
        <f t="shared" si="80"/>
        <v>33</v>
      </c>
      <c r="J52" s="7">
        <f t="shared" si="80"/>
        <v>4</v>
      </c>
      <c r="K52" s="7">
        <f t="shared" si="80"/>
        <v>4</v>
      </c>
      <c r="L52" s="7">
        <f t="shared" si="80"/>
        <v>4</v>
      </c>
      <c r="M52" s="7">
        <f t="shared" si="80"/>
        <v>1</v>
      </c>
      <c r="N52" s="7">
        <f t="shared" si="80"/>
        <v>0</v>
      </c>
      <c r="O52" s="7">
        <f t="shared" si="80"/>
        <v>0</v>
      </c>
      <c r="P52" s="7">
        <f t="shared" si="80"/>
        <v>0</v>
      </c>
      <c r="Q52" s="7">
        <f t="shared" si="80"/>
        <v>0</v>
      </c>
      <c r="R52" s="7">
        <f t="shared" si="80"/>
        <v>0</v>
      </c>
      <c r="S52" s="7">
        <f t="shared" si="80"/>
        <v>0</v>
      </c>
      <c r="T52" s="7">
        <f t="shared" si="80"/>
        <v>0</v>
      </c>
      <c r="U52" s="7">
        <f t="shared" si="80"/>
        <v>0</v>
      </c>
      <c r="V52" s="7">
        <f t="shared" si="80"/>
        <v>0</v>
      </c>
      <c r="W52" s="7">
        <f t="shared" si="80"/>
        <v>0</v>
      </c>
      <c r="X52" s="7">
        <f t="shared" si="80"/>
        <v>0</v>
      </c>
      <c r="Y52" s="7">
        <f t="shared" si="80"/>
        <v>0</v>
      </c>
      <c r="Z52" s="7">
        <f t="shared" si="80"/>
        <v>0</v>
      </c>
      <c r="AA52" s="7">
        <f t="shared" si="80"/>
        <v>0</v>
      </c>
      <c r="AB52" s="7">
        <f t="shared" si="80"/>
        <v>13</v>
      </c>
      <c r="AC52" s="7">
        <f t="shared" si="80"/>
        <v>559</v>
      </c>
    </row>
    <row r="53" spans="1:29" s="13" customFormat="1" ht="19.2" customHeight="1">
      <c r="A53" s="15" t="s">
        <v>36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6"/>
    </row>
    <row r="54" spans="1:29" s="13" customFormat="1" ht="19.2" customHeight="1">
      <c r="A54" s="3">
        <v>1</v>
      </c>
      <c r="B54" s="5" t="s">
        <v>48</v>
      </c>
      <c r="C54" s="6">
        <v>1000</v>
      </c>
      <c r="D54" s="7">
        <v>0</v>
      </c>
      <c r="E54" s="11">
        <f t="shared" ref="E54:E66" si="81">AC54</f>
        <v>22</v>
      </c>
      <c r="F54" s="9">
        <v>32</v>
      </c>
      <c r="G54" s="9"/>
      <c r="H54" s="9"/>
      <c r="I54" s="9">
        <f t="shared" ref="I54:I61" si="82">+F54+G54+H54</f>
        <v>32</v>
      </c>
      <c r="J54" s="10">
        <v>8</v>
      </c>
      <c r="K54" s="10"/>
      <c r="L54" s="10"/>
      <c r="M54" s="10">
        <v>2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>
        <f t="shared" ref="AB54:AB61" si="83">+J54+K54+L54+M54+N54+O54+P54+Q54+R54+AA54+S54+T54+U54+Y54+Z54+V54+W54+X54</f>
        <v>10</v>
      </c>
      <c r="AC54" s="7">
        <f t="shared" ref="AC54:AC61" si="84">+D54+I54-AB54</f>
        <v>22</v>
      </c>
    </row>
    <row r="55" spans="1:29" s="13" customFormat="1" ht="19.2" customHeight="1">
      <c r="A55" s="3">
        <v>2</v>
      </c>
      <c r="B55" s="5" t="s">
        <v>49</v>
      </c>
      <c r="C55" s="6">
        <v>1000</v>
      </c>
      <c r="D55" s="7">
        <v>24</v>
      </c>
      <c r="E55" s="11">
        <f t="shared" si="81"/>
        <v>24</v>
      </c>
      <c r="F55" s="9"/>
      <c r="G55" s="9"/>
      <c r="H55" s="9"/>
      <c r="I55" s="9">
        <f t="shared" si="82"/>
        <v>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f t="shared" si="83"/>
        <v>0</v>
      </c>
      <c r="AC55" s="7">
        <f t="shared" si="84"/>
        <v>24</v>
      </c>
    </row>
    <row r="56" spans="1:29" s="13" customFormat="1" ht="19.2" customHeight="1">
      <c r="A56" s="3">
        <v>3</v>
      </c>
      <c r="B56" s="5" t="s">
        <v>50</v>
      </c>
      <c r="C56" s="6">
        <v>1000</v>
      </c>
      <c r="D56" s="7">
        <v>28</v>
      </c>
      <c r="E56" s="11">
        <f t="shared" si="81"/>
        <v>91</v>
      </c>
      <c r="F56" s="9">
        <v>63</v>
      </c>
      <c r="G56" s="9"/>
      <c r="H56" s="9"/>
      <c r="I56" s="9">
        <f t="shared" si="82"/>
        <v>63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>
        <f t="shared" si="83"/>
        <v>0</v>
      </c>
      <c r="AC56" s="7">
        <f t="shared" si="84"/>
        <v>91</v>
      </c>
    </row>
    <row r="57" spans="1:29" s="13" customFormat="1" ht="19.2" customHeight="1">
      <c r="A57" s="3">
        <v>4</v>
      </c>
      <c r="B57" s="5" t="s">
        <v>60</v>
      </c>
      <c r="C57" s="6">
        <v>1000</v>
      </c>
      <c r="D57" s="7">
        <v>11</v>
      </c>
      <c r="E57" s="11">
        <f t="shared" ref="E57" si="85">AC57</f>
        <v>-1</v>
      </c>
      <c r="F57" s="9"/>
      <c r="G57" s="9"/>
      <c r="H57" s="9"/>
      <c r="I57" s="9">
        <f t="shared" ref="I57" si="86">+F57+G57+H57</f>
        <v>0</v>
      </c>
      <c r="J57" s="10"/>
      <c r="K57" s="10">
        <v>6</v>
      </c>
      <c r="L57" s="10">
        <v>6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>
        <f t="shared" ref="AB57" si="87">+J57+K57+L57+M57+N57+O57+P57+Q57+R57+AA57+S57+T57+U57+Y57+Z57+V57+W57+X57</f>
        <v>12</v>
      </c>
      <c r="AC57" s="7">
        <f t="shared" ref="AC57" si="88">+D57+I57-AB57</f>
        <v>-1</v>
      </c>
    </row>
    <row r="58" spans="1:29" s="13" customFormat="1" ht="19.2" customHeight="1">
      <c r="A58" s="3">
        <v>5</v>
      </c>
      <c r="B58" s="5" t="s">
        <v>51</v>
      </c>
      <c r="C58" s="6">
        <v>1000</v>
      </c>
      <c r="D58" s="7">
        <v>98</v>
      </c>
      <c r="E58" s="11">
        <f t="shared" si="81"/>
        <v>98</v>
      </c>
      <c r="F58" s="9"/>
      <c r="G58" s="9"/>
      <c r="H58" s="9"/>
      <c r="I58" s="9">
        <f t="shared" si="82"/>
        <v>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f t="shared" si="83"/>
        <v>0</v>
      </c>
      <c r="AC58" s="7">
        <f t="shared" si="84"/>
        <v>98</v>
      </c>
    </row>
    <row r="59" spans="1:29" s="13" customFormat="1" ht="19.2" customHeight="1">
      <c r="A59" s="3">
        <v>6</v>
      </c>
      <c r="B59" s="5" t="s">
        <v>70</v>
      </c>
      <c r="C59" s="6">
        <v>1000</v>
      </c>
      <c r="D59" s="7">
        <v>13</v>
      </c>
      <c r="E59" s="11">
        <f t="shared" ref="E59" si="89">AC59</f>
        <v>13</v>
      </c>
      <c r="F59" s="9"/>
      <c r="G59" s="9"/>
      <c r="H59" s="9"/>
      <c r="I59" s="9">
        <f t="shared" ref="I59" si="90">+F59+G59+H59</f>
        <v>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>
        <f t="shared" ref="AB59" si="91">+J59+K59+L59+M59+N59+O59+P59+Q59+R59+AA59+S59+T59+U59+Y59+Z59+V59+W59+X59</f>
        <v>0</v>
      </c>
      <c r="AC59" s="7">
        <f t="shared" ref="AC59" si="92">+D59+I59-AB59</f>
        <v>13</v>
      </c>
    </row>
    <row r="60" spans="1:29" s="13" customFormat="1" ht="19.2" customHeight="1">
      <c r="A60" s="3">
        <v>7</v>
      </c>
      <c r="B60" s="5" t="s">
        <v>52</v>
      </c>
      <c r="C60" s="6">
        <v>1000</v>
      </c>
      <c r="D60" s="7">
        <v>54</v>
      </c>
      <c r="E60" s="11">
        <f t="shared" si="81"/>
        <v>50</v>
      </c>
      <c r="F60" s="9"/>
      <c r="G60" s="9"/>
      <c r="H60" s="9"/>
      <c r="I60" s="9">
        <f t="shared" si="82"/>
        <v>0</v>
      </c>
      <c r="J60" s="10"/>
      <c r="K60" s="10">
        <v>2</v>
      </c>
      <c r="L60" s="10">
        <v>2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f t="shared" si="83"/>
        <v>4</v>
      </c>
      <c r="AC60" s="7">
        <f t="shared" si="84"/>
        <v>50</v>
      </c>
    </row>
    <row r="61" spans="1:29" s="13" customFormat="1" ht="19.2" customHeight="1">
      <c r="A61" s="3">
        <v>8</v>
      </c>
      <c r="B61" s="5" t="s">
        <v>53</v>
      </c>
      <c r="C61" s="6">
        <v>1000</v>
      </c>
      <c r="D61" s="7">
        <v>116</v>
      </c>
      <c r="E61" s="11">
        <f t="shared" si="81"/>
        <v>116</v>
      </c>
      <c r="F61" s="9"/>
      <c r="G61" s="9"/>
      <c r="H61" s="9"/>
      <c r="I61" s="9">
        <f t="shared" si="82"/>
        <v>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>
        <f t="shared" si="83"/>
        <v>0</v>
      </c>
      <c r="AC61" s="7">
        <f t="shared" si="84"/>
        <v>116</v>
      </c>
    </row>
    <row r="62" spans="1:29" s="13" customFormat="1" ht="19.2" customHeight="1">
      <c r="A62" s="15" t="s">
        <v>37</v>
      </c>
      <c r="B62" s="16"/>
      <c r="C62" s="6"/>
      <c r="D62" s="7">
        <f>SUM(D54:D61)</f>
        <v>344</v>
      </c>
      <c r="E62" s="11">
        <f t="shared" si="81"/>
        <v>413</v>
      </c>
      <c r="F62" s="7">
        <f t="shared" ref="F62:AC62" si="93">SUM(F54:F61)</f>
        <v>95</v>
      </c>
      <c r="G62" s="7">
        <f t="shared" si="93"/>
        <v>0</v>
      </c>
      <c r="H62" s="7">
        <f t="shared" si="93"/>
        <v>0</v>
      </c>
      <c r="I62" s="7">
        <f t="shared" si="93"/>
        <v>95</v>
      </c>
      <c r="J62" s="7">
        <f t="shared" si="93"/>
        <v>8</v>
      </c>
      <c r="K62" s="7">
        <f t="shared" si="93"/>
        <v>8</v>
      </c>
      <c r="L62" s="7">
        <f t="shared" si="93"/>
        <v>8</v>
      </c>
      <c r="M62" s="7">
        <f t="shared" si="93"/>
        <v>2</v>
      </c>
      <c r="N62" s="7">
        <f t="shared" si="93"/>
        <v>0</v>
      </c>
      <c r="O62" s="7">
        <f t="shared" si="93"/>
        <v>0</v>
      </c>
      <c r="P62" s="7">
        <f t="shared" si="93"/>
        <v>0</v>
      </c>
      <c r="Q62" s="7">
        <f t="shared" si="93"/>
        <v>0</v>
      </c>
      <c r="R62" s="7">
        <f t="shared" si="93"/>
        <v>0</v>
      </c>
      <c r="S62" s="7">
        <f t="shared" si="93"/>
        <v>0</v>
      </c>
      <c r="T62" s="7">
        <f t="shared" si="93"/>
        <v>0</v>
      </c>
      <c r="U62" s="7">
        <f t="shared" si="93"/>
        <v>0</v>
      </c>
      <c r="V62" s="7">
        <f t="shared" si="93"/>
        <v>0</v>
      </c>
      <c r="W62" s="7">
        <f t="shared" si="93"/>
        <v>0</v>
      </c>
      <c r="X62" s="7">
        <f t="shared" si="93"/>
        <v>0</v>
      </c>
      <c r="Y62" s="7">
        <f t="shared" si="93"/>
        <v>0</v>
      </c>
      <c r="Z62" s="7">
        <f t="shared" si="93"/>
        <v>0</v>
      </c>
      <c r="AA62" s="7">
        <f t="shared" si="93"/>
        <v>0</v>
      </c>
      <c r="AB62" s="7">
        <f t="shared" si="93"/>
        <v>26</v>
      </c>
      <c r="AC62" s="7">
        <f t="shared" si="93"/>
        <v>413</v>
      </c>
    </row>
    <row r="63" spans="1:29" s="13" customFormat="1" ht="19.2" customHeight="1">
      <c r="A63" s="15" t="s">
        <v>38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6"/>
    </row>
    <row r="64" spans="1:29" s="13" customFormat="1" ht="19.2" customHeight="1">
      <c r="A64" s="3">
        <v>1</v>
      </c>
      <c r="B64" s="5" t="s">
        <v>39</v>
      </c>
      <c r="C64" s="6">
        <v>1000</v>
      </c>
      <c r="D64" s="7">
        <v>0</v>
      </c>
      <c r="E64" s="11">
        <f t="shared" si="81"/>
        <v>0</v>
      </c>
      <c r="F64" s="9"/>
      <c r="G64" s="9"/>
      <c r="H64" s="9"/>
      <c r="I64" s="9">
        <f>+F64+G64+H64</f>
        <v>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>
        <f t="shared" ref="AB64:AB65" si="94">+J64+K64+L64+M64+N64+O64+P64+Q64+R64+AA64+S64+T64+U64+Y64+Z64+V64+W64+X64</f>
        <v>0</v>
      </c>
      <c r="AC64" s="7">
        <f>+D64+I64-AB64</f>
        <v>0</v>
      </c>
    </row>
    <row r="65" spans="1:29" s="13" customFormat="1" ht="19.2" customHeight="1">
      <c r="A65" s="3">
        <v>2</v>
      </c>
      <c r="B65" s="5" t="s">
        <v>40</v>
      </c>
      <c r="C65" s="6">
        <v>1000</v>
      </c>
      <c r="D65" s="7">
        <v>0</v>
      </c>
      <c r="E65" s="11">
        <f t="shared" si="81"/>
        <v>0</v>
      </c>
      <c r="F65" s="9"/>
      <c r="G65" s="9"/>
      <c r="H65" s="9"/>
      <c r="I65" s="9">
        <f>+F65+G65+H65</f>
        <v>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>
        <f t="shared" si="94"/>
        <v>0</v>
      </c>
      <c r="AC65" s="7">
        <f>+D65+I65-AB65</f>
        <v>0</v>
      </c>
    </row>
    <row r="66" spans="1:29" s="13" customFormat="1" ht="19.2" customHeight="1">
      <c r="A66" s="15" t="s">
        <v>41</v>
      </c>
      <c r="B66" s="16"/>
      <c r="C66" s="6" t="s">
        <v>10</v>
      </c>
      <c r="D66" s="7">
        <f t="shared" ref="D66:AC66" si="95">SUM(D64:D65)</f>
        <v>0</v>
      </c>
      <c r="E66" s="11">
        <f t="shared" si="81"/>
        <v>0</v>
      </c>
      <c r="F66" s="7">
        <f t="shared" si="95"/>
        <v>0</v>
      </c>
      <c r="G66" s="7">
        <f t="shared" si="95"/>
        <v>0</v>
      </c>
      <c r="H66" s="7">
        <f t="shared" si="95"/>
        <v>0</v>
      </c>
      <c r="I66" s="7">
        <f t="shared" si="95"/>
        <v>0</v>
      </c>
      <c r="J66" s="7">
        <f t="shared" si="95"/>
        <v>0</v>
      </c>
      <c r="K66" s="7">
        <f t="shared" ref="K66:AA66" si="96">SUM(K64:K65)</f>
        <v>0</v>
      </c>
      <c r="L66" s="7">
        <f t="shared" si="96"/>
        <v>0</v>
      </c>
      <c r="M66" s="7">
        <f t="shared" si="96"/>
        <v>0</v>
      </c>
      <c r="N66" s="7">
        <f t="shared" si="96"/>
        <v>0</v>
      </c>
      <c r="O66" s="7">
        <f t="shared" si="96"/>
        <v>0</v>
      </c>
      <c r="P66" s="7">
        <f t="shared" si="96"/>
        <v>0</v>
      </c>
      <c r="Q66" s="7">
        <f t="shared" si="96"/>
        <v>0</v>
      </c>
      <c r="R66" s="7">
        <f t="shared" si="96"/>
        <v>0</v>
      </c>
      <c r="S66" s="7">
        <f t="shared" si="96"/>
        <v>0</v>
      </c>
      <c r="T66" s="7">
        <f t="shared" si="96"/>
        <v>0</v>
      </c>
      <c r="U66" s="7">
        <f t="shared" si="96"/>
        <v>0</v>
      </c>
      <c r="V66" s="7">
        <f t="shared" si="96"/>
        <v>0</v>
      </c>
      <c r="W66" s="7">
        <f t="shared" si="96"/>
        <v>0</v>
      </c>
      <c r="X66" s="7">
        <f t="shared" si="96"/>
        <v>0</v>
      </c>
      <c r="Y66" s="7">
        <f t="shared" si="96"/>
        <v>0</v>
      </c>
      <c r="Z66" s="7">
        <f t="shared" si="96"/>
        <v>0</v>
      </c>
      <c r="AA66" s="7">
        <f t="shared" si="96"/>
        <v>0</v>
      </c>
      <c r="AB66" s="7">
        <f t="shared" si="95"/>
        <v>0</v>
      </c>
      <c r="AC66" s="7">
        <f t="shared" si="95"/>
        <v>0</v>
      </c>
    </row>
    <row r="67" spans="1:29" s="13" customFormat="1" ht="19.2" customHeight="1">
      <c r="A67" s="15" t="s">
        <v>11</v>
      </c>
      <c r="B67" s="16"/>
      <c r="C67" s="6"/>
      <c r="D67" s="7">
        <f>D11+D15+D30+D39+D52+D62+D66+D21</f>
        <v>1505</v>
      </c>
      <c r="E67" s="7">
        <f t="shared" ref="E67:AC67" si="97">E11+E15+E30+E39+E52+E62+E66+E21</f>
        <v>1607</v>
      </c>
      <c r="F67" s="7">
        <f t="shared" si="97"/>
        <v>145</v>
      </c>
      <c r="G67" s="7">
        <f t="shared" si="97"/>
        <v>0</v>
      </c>
      <c r="H67" s="7">
        <f t="shared" si="97"/>
        <v>0</v>
      </c>
      <c r="I67" s="7">
        <f t="shared" si="97"/>
        <v>145</v>
      </c>
      <c r="J67" s="7">
        <f t="shared" si="97"/>
        <v>12</v>
      </c>
      <c r="K67" s="7">
        <f t="shared" si="97"/>
        <v>12</v>
      </c>
      <c r="L67" s="7">
        <f t="shared" si="97"/>
        <v>12</v>
      </c>
      <c r="M67" s="7">
        <f t="shared" si="97"/>
        <v>3</v>
      </c>
      <c r="N67" s="7">
        <f t="shared" si="97"/>
        <v>4</v>
      </c>
      <c r="O67" s="7">
        <f t="shared" si="97"/>
        <v>0</v>
      </c>
      <c r="P67" s="7">
        <f t="shared" si="97"/>
        <v>0</v>
      </c>
      <c r="Q67" s="7">
        <f t="shared" si="97"/>
        <v>0</v>
      </c>
      <c r="R67" s="7">
        <f t="shared" si="97"/>
        <v>0</v>
      </c>
      <c r="S67" s="7">
        <f t="shared" si="97"/>
        <v>0</v>
      </c>
      <c r="T67" s="7">
        <f t="shared" si="97"/>
        <v>0</v>
      </c>
      <c r="U67" s="7">
        <f t="shared" si="97"/>
        <v>0</v>
      </c>
      <c r="V67" s="7">
        <f t="shared" si="97"/>
        <v>0</v>
      </c>
      <c r="W67" s="7">
        <f t="shared" si="97"/>
        <v>0</v>
      </c>
      <c r="X67" s="7">
        <f t="shared" si="97"/>
        <v>0</v>
      </c>
      <c r="Y67" s="7">
        <f t="shared" si="97"/>
        <v>0</v>
      </c>
      <c r="Z67" s="7">
        <f t="shared" si="97"/>
        <v>0</v>
      </c>
      <c r="AA67" s="7">
        <f t="shared" si="97"/>
        <v>0</v>
      </c>
      <c r="AB67" s="7">
        <f t="shared" si="97"/>
        <v>43</v>
      </c>
      <c r="AC67" s="7">
        <f t="shared" si="97"/>
        <v>1607</v>
      </c>
    </row>
  </sheetData>
  <mergeCells count="27">
    <mergeCell ref="A12:AC12"/>
    <mergeCell ref="A15:B15"/>
    <mergeCell ref="A16:AC16"/>
    <mergeCell ref="A21:B21"/>
    <mergeCell ref="A11:B11"/>
    <mergeCell ref="J1:AA1"/>
    <mergeCell ref="AB1:AB2"/>
    <mergeCell ref="AC1:AC2"/>
    <mergeCell ref="A3:AC3"/>
    <mergeCell ref="E1:E2"/>
    <mergeCell ref="F1:H1"/>
    <mergeCell ref="A1:A2"/>
    <mergeCell ref="B1:B2"/>
    <mergeCell ref="C1:C2"/>
    <mergeCell ref="D1:D2"/>
    <mergeCell ref="I1:I2"/>
    <mergeCell ref="A22:AC22"/>
    <mergeCell ref="A31:AC31"/>
    <mergeCell ref="A39:B39"/>
    <mergeCell ref="A40:AC40"/>
    <mergeCell ref="A52:B52"/>
    <mergeCell ref="A30:B30"/>
    <mergeCell ref="A67:B67"/>
    <mergeCell ref="A62:B62"/>
    <mergeCell ref="A53:AC53"/>
    <mergeCell ref="A63:AC63"/>
    <mergeCell ref="A66:B66"/>
  </mergeCells>
  <pageMargins left="0.11811023622047245" right="0.11811023622047245" top="0.15748031496062992" bottom="0.11811023622047245" header="0.15748031496062992" footer="0.11811023622047245"/>
  <pageSetup paperSize="9" scale="69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 март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Sulton</dc:creator>
  <cp:lastModifiedBy>Sulton</cp:lastModifiedBy>
  <dcterms:created xsi:type="dcterms:W3CDTF">2026-03-02T07:22:13Z</dcterms:created>
  <dcterms:modified xsi:type="dcterms:W3CDTF">2026-03-25T09:20:27Z</dcterms:modified>
</cp:coreProperties>
</file>